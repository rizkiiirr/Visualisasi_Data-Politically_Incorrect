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cuments\2. Visualisasi Data\UAS VISDAT\Data_Visualization\"/>
    </mc:Choice>
  </mc:AlternateContent>
  <xr:revisionPtr revIDLastSave="0" documentId="13_ncr:1_{C714C41E-ED1D-4329-85AF-9B29D39E5C45}" xr6:coauthVersionLast="47" xr6:coauthVersionMax="47" xr10:uidLastSave="{00000000-0000-0000-0000-000000000000}"/>
  <bookViews>
    <workbookView xWindow="-108" yWindow="-108" windowWidth="23256" windowHeight="12456" activeTab="5" xr2:uid="{691214C1-FC67-4AE3-A5F9-2F0B66DEF79B}"/>
  </bookViews>
  <sheets>
    <sheet name="Komparasi Gaji" sheetId="1" r:id="rId1"/>
    <sheet name="Korelasi Lansia" sheetId="2" r:id="rId2"/>
    <sheet name="Benchmark Negara" sheetId="3" r:id="rId3"/>
    <sheet name="Porsi BPJS" sheetId="4" r:id="rId4"/>
    <sheet name="Proyeksi Masa Depan" sheetId="6" r:id="rId5"/>
    <sheet name="Analisis ROI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<sst xmlns="http://schemas.openxmlformats.org/spreadsheetml/2006/main" count="53" uniqueCount="44">
  <si>
    <t>Tahun</t>
  </si>
  <si>
    <t>Keterangan</t>
  </si>
  <si>
    <t>Kategori</t>
  </si>
  <si>
    <t xml:space="preserve">Nominal </t>
  </si>
  <si>
    <t>Gaji Pokok DPR RI (Setahun)</t>
  </si>
  <si>
    <t>580 Anggota x Rp 4,2 Juta x 12 Bulan</t>
  </si>
  <si>
    <t>Jumlah Lansia (Juta Jiwa)</t>
  </si>
  <si>
    <t>Skor Indeks Korupsi (CPI)</t>
  </si>
  <si>
    <t>Negara</t>
  </si>
  <si>
    <t>Skor Kebersihan (CPI)</t>
  </si>
  <si>
    <t>Indonesia</t>
  </si>
  <si>
    <t>Singapura</t>
  </si>
  <si>
    <t>Jenis Penyakit</t>
  </si>
  <si>
    <t>Biaya (Triliun Rupiah)</t>
  </si>
  <si>
    <t>Grup Framing</t>
  </si>
  <si>
    <t>Jantung</t>
  </si>
  <si>
    <t>Penyakit Lansia</t>
  </si>
  <si>
    <t>Stroke</t>
  </si>
  <si>
    <t>Gagal Ginjal</t>
  </si>
  <si>
    <t>Kanker</t>
  </si>
  <si>
    <t>Lain-lain</t>
  </si>
  <si>
    <t>Lainnya</t>
  </si>
  <si>
    <t>Proyeksi Kasus Korupsi</t>
  </si>
  <si>
    <t>Status Data</t>
  </si>
  <si>
    <t>Data Asli</t>
  </si>
  <si>
    <t xml:space="preserve"> </t>
  </si>
  <si>
    <t>Proyeksi</t>
  </si>
  <si>
    <t>29.74</t>
  </si>
  <si>
    <t>26.82</t>
  </si>
  <si>
    <t>29.3</t>
  </si>
  <si>
    <t xml:space="preserve">31.39 </t>
  </si>
  <si>
    <t xml:space="preserve">Belanja Pensiun APBN </t>
  </si>
  <si>
    <t>Gaji Pensiunan</t>
  </si>
  <si>
    <t>Suntik Mati</t>
  </si>
  <si>
    <t>Proyeksi Gaji DPR</t>
  </si>
  <si>
    <t>Gaji Pejabat per Tahun</t>
  </si>
  <si>
    <t>Modal</t>
  </si>
  <si>
    <t>Komponen</t>
  </si>
  <si>
    <t>Nominal</t>
  </si>
  <si>
    <t>Hemat Biaya BPJS 10 Tahun untuk 1 Orang</t>
  </si>
  <si>
    <t>Harga Suntik Mati untuk 1 Orang</t>
  </si>
  <si>
    <t>Keuntungan</t>
  </si>
  <si>
    <t>Biaya katastropik BPJS</t>
  </si>
  <si>
    <t>Beban Lansia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</si>
</sst>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2" fillId="0" borderId="1" xfId="0" applyNumberFormat="1" applyFont="1" applyBorder="1"/>
    <xf numFmtId="1" fontId="3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center" indent="1"/>
    </xf>
    <xf numFmtId="1" fontId="3" fillId="0" borderId="0" xfId="0" applyNumberFormat="1" applyFont="1"/>
    <xf numFmtId="44" fontId="0" fillId="0" borderId="1" xfId="1" applyFont="1" applyBorder="1"/>
    <xf numFmtId="44" fontId="0" fillId="0" borderId="2" xfId="1" applyFont="1" applyBorder="1"/>
    <xf numFmtId="1" fontId="0" fillId="0" borderId="0" xfId="0" applyNumberFormat="1"/>
    <xf numFmtId="1" fontId="5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F1FF-24CC-4338-8851-B2763E5E3A46}">
  <dimension ref="A1:C16"/>
  <sheetViews>
    <sheetView workbookViewId="0">
      <selection activeCell="B7" sqref="B7"/>
    </sheetView>
  </sheetViews>
  <sheetFormatPr defaultRowHeight="14.4" x14ac:dyDescent="0.3"/>
  <cols>
    <col min="1" max="1" width="23.88671875" bestFit="1" customWidth="1"/>
    <col min="2" max="2" width="28.21875" customWidth="1"/>
    <col min="3" max="3" width="31" bestFit="1" customWidth="1"/>
    <col min="4" max="4" width="13.6640625" bestFit="1" customWidth="1"/>
  </cols>
  <sheetData>
    <row r="1" spans="1:3" x14ac:dyDescent="0.3">
      <c r="A1" s="5" t="s">
        <v>2</v>
      </c>
      <c r="B1" s="5" t="s">
        <v>3</v>
      </c>
      <c r="C1" s="5" t="s">
        <v>1</v>
      </c>
    </row>
    <row r="2" spans="1:3" x14ac:dyDescent="0.3">
      <c r="A2" s="2" t="s">
        <v>4</v>
      </c>
      <c r="B2" s="2">
        <v>29232000000</v>
      </c>
      <c r="C2" s="2" t="s">
        <v>5</v>
      </c>
    </row>
    <row r="3" spans="1:3" x14ac:dyDescent="0.3">
      <c r="A3" s="2" t="s">
        <v>42</v>
      </c>
      <c r="B3" s="15">
        <f>SUM('Porsi BPJS'!B2:B6)</f>
        <v>37283838640562</v>
      </c>
      <c r="C3" s="2" t="s">
        <v>43</v>
      </c>
    </row>
    <row r="4" spans="1:3" x14ac:dyDescent="0.3">
      <c r="A4" s="2" t="s">
        <v>31</v>
      </c>
      <c r="B4" s="7">
        <v>154600000000000</v>
      </c>
      <c r="C4" s="2" t="s">
        <v>32</v>
      </c>
    </row>
    <row r="5" spans="1:3" x14ac:dyDescent="0.3">
      <c r="A5" s="2" t="s">
        <v>33</v>
      </c>
      <c r="B5" s="7">
        <v>8025889.4000000004</v>
      </c>
      <c r="C5" s="2" t="s">
        <v>33</v>
      </c>
    </row>
    <row r="7" spans="1:3" x14ac:dyDescent="0.3">
      <c r="C7" s="1"/>
    </row>
    <row r="8" spans="1:3" x14ac:dyDescent="0.3">
      <c r="C8" s="1"/>
    </row>
    <row r="13" spans="1:3" x14ac:dyDescent="0.3">
      <c r="B13" s="1"/>
    </row>
    <row r="14" spans="1:3" x14ac:dyDescent="0.3">
      <c r="B14" s="1"/>
    </row>
    <row r="15" spans="1:3" x14ac:dyDescent="0.3">
      <c r="B15" s="1"/>
    </row>
    <row r="16" spans="1:3" x14ac:dyDescent="0.3">
      <c r="B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A337-C6CB-4B85-8764-1BD0373D7E6C}">
  <dimension ref="A1:C5"/>
  <sheetViews>
    <sheetView workbookViewId="0">
      <selection sqref="A1:C1"/>
    </sheetView>
  </sheetViews>
  <sheetFormatPr defaultRowHeight="14.4" x14ac:dyDescent="0.3"/>
  <cols>
    <col min="2" max="2" width="22.21875" bestFit="1" customWidth="1"/>
    <col min="3" max="3" width="22.44140625" bestFit="1" customWidth="1"/>
  </cols>
  <sheetData>
    <row r="1" spans="1:3" x14ac:dyDescent="0.3">
      <c r="A1" s="9" t="s">
        <v>0</v>
      </c>
      <c r="B1" s="9" t="s">
        <v>6</v>
      </c>
      <c r="C1" s="9" t="s">
        <v>7</v>
      </c>
    </row>
    <row r="2" spans="1:3" x14ac:dyDescent="0.3">
      <c r="A2" s="4">
        <v>2020</v>
      </c>
      <c r="B2" s="4" t="s">
        <v>28</v>
      </c>
      <c r="C2" s="4">
        <v>37</v>
      </c>
    </row>
    <row r="3" spans="1:3" x14ac:dyDescent="0.3">
      <c r="A3" s="4">
        <v>2021</v>
      </c>
      <c r="B3" s="6" t="s">
        <v>29</v>
      </c>
      <c r="C3" s="4">
        <v>38</v>
      </c>
    </row>
    <row r="4" spans="1:3" x14ac:dyDescent="0.3">
      <c r="A4" s="4">
        <v>2022</v>
      </c>
      <c r="B4" s="6" t="s">
        <v>27</v>
      </c>
      <c r="C4" s="4">
        <v>34</v>
      </c>
    </row>
    <row r="5" spans="1:3" x14ac:dyDescent="0.3">
      <c r="A5" s="4">
        <v>2023</v>
      </c>
      <c r="B5" s="6" t="s">
        <v>30</v>
      </c>
      <c r="C5" s="4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FAE2-50F7-4607-9B05-1D4EBB796FDF}">
  <dimension ref="A1:C3"/>
  <sheetViews>
    <sheetView workbookViewId="0">
      <selection activeCell="C7" sqref="C7"/>
    </sheetView>
  </sheetViews>
  <sheetFormatPr defaultRowHeight="14.4" x14ac:dyDescent="0.3"/>
  <cols>
    <col min="1" max="1" width="20.77734375" bestFit="1" customWidth="1"/>
    <col min="2" max="2" width="32" bestFit="1" customWidth="1"/>
    <col min="3" max="3" width="18.33203125" bestFit="1" customWidth="1"/>
  </cols>
  <sheetData>
    <row r="1" spans="1:3" x14ac:dyDescent="0.3">
      <c r="A1" s="5" t="s">
        <v>8</v>
      </c>
      <c r="B1" s="5" t="s">
        <v>35</v>
      </c>
      <c r="C1" s="5" t="s">
        <v>9</v>
      </c>
    </row>
    <row r="2" spans="1:3" x14ac:dyDescent="0.3">
      <c r="A2" s="4" t="s">
        <v>10</v>
      </c>
      <c r="B2" s="4">
        <v>787080000</v>
      </c>
      <c r="C2" s="4">
        <v>34</v>
      </c>
    </row>
    <row r="3" spans="1:3" x14ac:dyDescent="0.3">
      <c r="A3" s="4" t="s">
        <v>11</v>
      </c>
      <c r="B3" s="8">
        <v>2480000000</v>
      </c>
      <c r="C3" s="4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1CDE-C4D2-4461-8CB6-2C74BEA243EF}">
  <dimension ref="A1:E8"/>
  <sheetViews>
    <sheetView workbookViewId="0">
      <selection activeCell="B8" sqref="B8"/>
    </sheetView>
  </sheetViews>
  <sheetFormatPr defaultRowHeight="14.4" x14ac:dyDescent="0.3"/>
  <cols>
    <col min="1" max="1" width="12.77734375" bestFit="1" customWidth="1"/>
    <col min="2" max="2" width="23.44140625" bestFit="1" customWidth="1"/>
    <col min="3" max="3" width="13.5546875" bestFit="1" customWidth="1"/>
  </cols>
  <sheetData>
    <row r="1" spans="1:5" x14ac:dyDescent="0.3">
      <c r="A1" s="9" t="s">
        <v>12</v>
      </c>
      <c r="B1" s="9" t="s">
        <v>13</v>
      </c>
      <c r="C1" s="9" t="s">
        <v>14</v>
      </c>
    </row>
    <row r="2" spans="1:5" x14ac:dyDescent="0.3">
      <c r="A2" s="2" t="s">
        <v>15</v>
      </c>
      <c r="B2" s="13">
        <v>19250622010793</v>
      </c>
      <c r="C2" s="2" t="s">
        <v>16</v>
      </c>
    </row>
    <row r="3" spans="1:5" x14ac:dyDescent="0.3">
      <c r="A3" s="2" t="s">
        <v>19</v>
      </c>
      <c r="B3" s="13">
        <v>6488106411284</v>
      </c>
      <c r="C3" s="2" t="s">
        <v>16</v>
      </c>
    </row>
    <row r="4" spans="1:5" x14ac:dyDescent="0.3">
      <c r="A4" s="3" t="s">
        <v>17</v>
      </c>
      <c r="B4" s="14">
        <v>5817085160504</v>
      </c>
      <c r="C4" s="2" t="s">
        <v>16</v>
      </c>
    </row>
    <row r="5" spans="1:5" x14ac:dyDescent="0.3">
      <c r="A5" s="2" t="s">
        <v>18</v>
      </c>
      <c r="B5" s="13">
        <v>2760968219728</v>
      </c>
      <c r="C5" s="2" t="s">
        <v>16</v>
      </c>
    </row>
    <row r="6" spans="1:5" x14ac:dyDescent="0.3">
      <c r="A6" s="2" t="s">
        <v>20</v>
      </c>
      <c r="B6" s="13">
        <v>2967056838253</v>
      </c>
      <c r="C6" s="2" t="s">
        <v>21</v>
      </c>
    </row>
    <row r="8" spans="1:5" x14ac:dyDescent="0.3">
      <c r="E8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03B9-6D23-4768-9CFD-33791F4CE30F}">
  <dimension ref="A1:D6"/>
  <sheetViews>
    <sheetView workbookViewId="0">
      <selection activeCell="G6" sqref="G6"/>
    </sheetView>
  </sheetViews>
  <sheetFormatPr defaultRowHeight="14.4" x14ac:dyDescent="0.3"/>
  <cols>
    <col min="2" max="2" width="15.21875" bestFit="1" customWidth="1"/>
    <col min="3" max="3" width="19.44140625" bestFit="1" customWidth="1"/>
    <col min="4" max="4" width="10.33203125" bestFit="1" customWidth="1"/>
  </cols>
  <sheetData>
    <row r="1" spans="1:4" x14ac:dyDescent="0.3">
      <c r="A1" s="9" t="s">
        <v>0</v>
      </c>
      <c r="B1" s="9" t="s">
        <v>34</v>
      </c>
      <c r="C1" s="9" t="s">
        <v>22</v>
      </c>
      <c r="D1" s="9" t="s">
        <v>23</v>
      </c>
    </row>
    <row r="2" spans="1:4" x14ac:dyDescent="0.3">
      <c r="A2" s="2">
        <v>2023</v>
      </c>
      <c r="B2" s="2">
        <v>720000000</v>
      </c>
      <c r="C2" s="2">
        <v>791</v>
      </c>
      <c r="D2" s="2" t="s">
        <v>24</v>
      </c>
    </row>
    <row r="3" spans="1:4" x14ac:dyDescent="0.3">
      <c r="A3" s="2">
        <v>2024</v>
      </c>
      <c r="B3" s="2">
        <v>720000000</v>
      </c>
      <c r="C3" s="2">
        <v>364</v>
      </c>
      <c r="D3" s="2" t="s">
        <v>24</v>
      </c>
    </row>
    <row r="4" spans="1:4" x14ac:dyDescent="0.3">
      <c r="A4" s="2">
        <v>2025</v>
      </c>
      <c r="B4" s="2">
        <v>1200000000</v>
      </c>
      <c r="C4" s="2">
        <v>250</v>
      </c>
      <c r="D4" s="2" t="s">
        <v>26</v>
      </c>
    </row>
    <row r="5" spans="1:4" x14ac:dyDescent="0.3">
      <c r="A5" s="2">
        <v>2026</v>
      </c>
      <c r="B5" s="2">
        <v>2400000000</v>
      </c>
      <c r="C5" s="2">
        <v>100</v>
      </c>
      <c r="D5" s="2" t="s">
        <v>26</v>
      </c>
    </row>
    <row r="6" spans="1:4" x14ac:dyDescent="0.3">
      <c r="A6" s="2">
        <v>2027</v>
      </c>
      <c r="B6" s="2">
        <v>3600000000</v>
      </c>
      <c r="C6" s="2">
        <v>0</v>
      </c>
      <c r="D6" s="2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62A2-AFCD-4B63-AF24-BF6287993DEA}">
  <dimension ref="A1:E18"/>
  <sheetViews>
    <sheetView tabSelected="1" workbookViewId="0">
      <selection activeCell="C9" sqref="C9"/>
    </sheetView>
  </sheetViews>
  <sheetFormatPr defaultRowHeight="14.4" x14ac:dyDescent="0.3"/>
  <cols>
    <col min="1" max="1" width="10.5546875" bestFit="1" customWidth="1"/>
    <col min="2" max="2" width="24.109375" bestFit="1" customWidth="1"/>
    <col min="3" max="3" width="35.77734375" bestFit="1" customWidth="1"/>
  </cols>
  <sheetData>
    <row r="1" spans="1:5" x14ac:dyDescent="0.3">
      <c r="A1" s="9" t="s">
        <v>37</v>
      </c>
      <c r="B1" s="9" t="s">
        <v>38</v>
      </c>
      <c r="C1" s="9" t="s">
        <v>1</v>
      </c>
    </row>
    <row r="2" spans="1:5" x14ac:dyDescent="0.3">
      <c r="A2" s="2" t="s">
        <v>36</v>
      </c>
      <c r="B2" s="12">
        <v>1383527</v>
      </c>
      <c r="C2" s="2" t="s">
        <v>40</v>
      </c>
      <c r="E2" s="10"/>
    </row>
    <row r="3" spans="1:5" x14ac:dyDescent="0.3">
      <c r="A3" s="2" t="s">
        <v>41</v>
      </c>
      <c r="B3" s="16">
        <v>915106500</v>
      </c>
      <c r="C3" s="2" t="s">
        <v>39</v>
      </c>
      <c r="E3" s="11"/>
    </row>
    <row r="4" spans="1:5" x14ac:dyDescent="0.3">
      <c r="E4" s="11"/>
    </row>
    <row r="6" spans="1:5" x14ac:dyDescent="0.3">
      <c r="E6" s="10"/>
    </row>
    <row r="7" spans="1:5" x14ac:dyDescent="0.3">
      <c r="E7" s="11"/>
    </row>
    <row r="8" spans="1:5" x14ac:dyDescent="0.3">
      <c r="E8" s="11"/>
    </row>
    <row r="10" spans="1:5" x14ac:dyDescent="0.3">
      <c r="E10" s="10"/>
    </row>
    <row r="11" spans="1:5" x14ac:dyDescent="0.3">
      <c r="E11" s="11"/>
    </row>
    <row r="12" spans="1:5" x14ac:dyDescent="0.3">
      <c r="E12" s="11"/>
    </row>
    <row r="13" spans="1:5" x14ac:dyDescent="0.3">
      <c r="E13" s="11"/>
    </row>
    <row r="14" spans="1:5" x14ac:dyDescent="0.3">
      <c r="E14" s="11"/>
    </row>
    <row r="16" spans="1:5" x14ac:dyDescent="0.3">
      <c r="E16" s="10"/>
    </row>
    <row r="17" spans="5:5" x14ac:dyDescent="0.3">
      <c r="E17" s="11"/>
    </row>
    <row r="18" spans="5:5" x14ac:dyDescent="0.3">
      <c r="E18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Komparasi Gaji</vt:lpstr>
      <vt:lpstr>Korelasi Lansia</vt:lpstr>
      <vt:lpstr>Benchmark Negara</vt:lpstr>
      <vt:lpstr>Porsi BPJS</vt:lpstr>
      <vt:lpstr>Proyeksi Masa Depan</vt:lpstr>
      <vt:lpstr>Analisis 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ramadhan</dc:creator>
  <cp:lastModifiedBy>rizki ramadhan</cp:lastModifiedBy>
  <dcterms:created xsi:type="dcterms:W3CDTF">2025-12-06T08:16:21Z</dcterms:created>
  <dcterms:modified xsi:type="dcterms:W3CDTF">2025-12-19T03:25:31Z</dcterms:modified>
</cp:coreProperties>
</file>